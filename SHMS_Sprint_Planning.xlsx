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f47ad4b5952cbb/Desktop/"/>
    </mc:Choice>
  </mc:AlternateContent>
  <xr:revisionPtr revIDLastSave="834" documentId="11_B0E55155AF9A09ABEEF731B9457300EA2E10C738" xr6:coauthVersionLast="47" xr6:coauthVersionMax="47" xr10:uidLastSave="{62768844-D426-4443-A398-1082B400D5B4}"/>
  <bookViews>
    <workbookView xWindow="-108" yWindow="-108" windowWidth="23256" windowHeight="14616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4" i="1" l="1"/>
  <c r="K24" i="1"/>
  <c r="J24" i="1"/>
  <c r="I24" i="1"/>
  <c r="H24" i="1"/>
  <c r="G24" i="1"/>
  <c r="F24" i="1"/>
  <c r="N23" i="1"/>
  <c r="N22" i="1"/>
  <c r="N21" i="1"/>
  <c r="N20" i="1"/>
  <c r="N19" i="1"/>
  <c r="N18" i="1"/>
</calcChain>
</file>

<file path=xl/sharedStrings.xml><?xml version="1.0" encoding="utf-8"?>
<sst xmlns="http://schemas.openxmlformats.org/spreadsheetml/2006/main" count="392" uniqueCount="187">
  <si>
    <t>Server Health Monitoring System (SHMS) — Infrastructure Monitoring Platform</t>
  </si>
  <si>
    <t>Team Capacity and Sprint Allocation</t>
  </si>
  <si>
    <t>S.No</t>
  </si>
  <si>
    <t>Member Name</t>
  </si>
  <si>
    <t xml:space="preserve">Role  </t>
  </si>
  <si>
    <t>Sprint Focus</t>
  </si>
  <si>
    <t>Points/ Sprint</t>
  </si>
  <si>
    <t xml:space="preserve">Availability </t>
  </si>
  <si>
    <t xml:space="preserve">Status </t>
  </si>
  <si>
    <t>Sai Abhiram</t>
  </si>
  <si>
    <t>Product Owner &amp; Scrum Master</t>
  </si>
  <si>
    <t>Backlog, Planning &amp; Sprint Management</t>
  </si>
  <si>
    <t xml:space="preserve">Active </t>
  </si>
  <si>
    <t>Vinay Charan</t>
  </si>
  <si>
    <t>Lead Developer &amp; Solution Architect</t>
  </si>
  <si>
    <t>System Architecture &amp; Core Development</t>
  </si>
  <si>
    <t>Bandhav</t>
  </si>
  <si>
    <t>DevOps Engineer</t>
  </si>
  <si>
    <t>CI/CD, Docker, Deployment &amp; Monitoring</t>
  </si>
  <si>
    <t>Abhiram Krishna</t>
  </si>
  <si>
    <t>Frontend Developer</t>
  </si>
  <si>
    <t>Dashboard UI, Real-time Graphs &amp; Alerts UI</t>
  </si>
  <si>
    <t>Navadeep</t>
  </si>
  <si>
    <t>ML Engineer</t>
  </si>
  <si>
    <t>Anomaly Detection, Predictive Alerts &amp; Models</t>
  </si>
  <si>
    <t>Prem Kumar</t>
  </si>
  <si>
    <t>Operations Assistant</t>
  </si>
  <si>
    <t>Server Config, Infra Support &amp; Docs</t>
  </si>
  <si>
    <t>Nihal</t>
  </si>
  <si>
    <t>Testing Engineer (QA)</t>
  </si>
  <si>
    <t>Unit Testing, Integration, QA &amp; Reports</t>
  </si>
  <si>
    <t>SPRINT PLAN — 6 SPRINTS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</si>
  <si>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</si>
  <si>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</si>
  <si>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</si>
  <si>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</si>
  <si>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</si>
  <si>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</si>
  <si>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</si>
  <si>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</si>
  <si>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</si>
  <si>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</si>
  <si>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</si>
  <si>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</si>
  <si>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Status</t>
  </si>
  <si>
    <t>Stakeholder Review</t>
  </si>
  <si>
    <t>Notes</t>
  </si>
  <si>
    <t>Sprint 1</t>
  </si>
  <si>
    <t>Requirements, Architecture &amp; Planning</t>
  </si>
  <si>
    <t>7 Days</t>
  </si>
  <si>
    <t>Completed</t>
  </si>
  <si>
    <t>SRS, Architecture Doc, Product Backlog, Sprint Plan completed ✓</t>
  </si>
  <si>
    <t>Sprint 2</t>
  </si>
  <si>
    <t>Core Agent Setup &amp; Data Collection Module</t>
  </si>
  <si>
    <t>Windows Exporter, Prometheus &amp; Grafana (ID 24390) deployed ✓</t>
  </si>
  <si>
    <t>Sprint 3</t>
  </si>
  <si>
    <t>Dashboard UI &amp; Real-time Monitoring</t>
  </si>
  <si>
    <t>In Progress</t>
  </si>
  <si>
    <t>PB-07 completed; refining historical views (PB-08) next</t>
  </si>
  <si>
    <t>Sprint 4</t>
  </si>
  <si>
    <t>ML Anomaly Detection &amp; Smart Alerts</t>
  </si>
  <si>
    <t>Planned</t>
  </si>
  <si>
    <t>Anomaly detection model, predictive alerts, threshold breach warnings</t>
  </si>
  <si>
    <t>Sprint 5</t>
  </si>
  <si>
    <t>DevOps Pipeline, Logging &amp; Notification System</t>
  </si>
  <si>
    <t>GitHub Actions CI/CD, Docker, Email/Slack alerts, log aggregation</t>
  </si>
  <si>
    <t>Sprint 6</t>
  </si>
  <si>
    <t>Testing, Deployment &amp; Project Release</t>
  </si>
  <si>
    <t>Full UAT, regression testing, production deployment</t>
  </si>
  <si>
    <t>TOTALS</t>
  </si>
  <si>
    <t>Date</t>
  </si>
  <si>
    <t>Team Member</t>
  </si>
  <si>
    <t>Activity Performed</t>
  </si>
  <si>
    <t>Pts</t>
  </si>
  <si>
    <t>Help Needed</t>
  </si>
  <si>
    <t>Sai Abhiram (PO/SM)</t>
  </si>
  <si>
    <t>Installed Windows Exporter agent on target nodes; configured Windows Firewall (inbound rule, TCP port 9182) via Admin PowerShell.</t>
  </si>
  <si>
    <t>No</t>
  </si>
  <si>
    <t>Bandhav (DevOps)</t>
  </si>
  <si>
    <t>Set up Prometheus main server; configured prometheus.yml to scrape team_windows_nodes using Tailscale IPs.</t>
  </si>
  <si>
    <t>Troubleshot Tailscale VPN connectivity issues (restarted background services) to ensure successful scraping.</t>
  </si>
  <si>
    <t>Yes</t>
  </si>
  <si>
    <t>Set up Grafana on port 3000; configured Prometheus as the primary data source.</t>
  </si>
  <si>
    <t>Bandhav &amp; Sai Abhiram</t>
  </si>
  <si>
    <t>Debugged Grafana dashboard import issues; resolved Linux/Windows dashboard mismatch &amp; 'job' spelling errors (team_windows_nodes).</t>
  </si>
  <si>
    <t>Entire Team</t>
  </si>
  <si>
    <t>Successfully imported Dashboard 24390; verified real-time live metrics (16-core CPU) across multiple target laptops.</t>
  </si>
  <si>
    <t>Sprint 2 Summary</t>
  </si>
  <si>
    <t>Sprint 2 Deliverables</t>
  </si>
  <si>
    <t>Metric</t>
  </si>
  <si>
    <t>Value</t>
  </si>
  <si>
    <t>Deliverable</t>
  </si>
  <si>
    <t>Windows Exporter Agent Setup</t>
  </si>
  <si>
    <t>Sprint Duration</t>
  </si>
  <si>
    <t>22 Jun 2026 – 28 Jun 2026</t>
  </si>
  <si>
    <t>Prometheus Server Configuration</t>
  </si>
  <si>
    <t>Committed Story Points</t>
  </si>
  <si>
    <t>Tailscale Zero-Trust Network Setup</t>
  </si>
  <si>
    <t>Completed Story Points</t>
  </si>
  <si>
    <t>Grafana Real-time Dashboard (ID: 24390)</t>
  </si>
  <si>
    <t>Remaining Story Points</t>
  </si>
  <si>
    <t>Live Multi-node Metrics Pipeline</t>
  </si>
  <si>
    <t>Completion Percentage</t>
  </si>
  <si>
    <t>Sprint 1 Summary – Requirements, Architecture &amp; Planning</t>
  </si>
  <si>
    <t>Sprint 1 Summary</t>
  </si>
  <si>
    <t>Sprint 1 Deliverables</t>
  </si>
  <si>
    <t>Software Requirement Specification (SRS)</t>
  </si>
  <si>
    <t>15 Jun 2026 – 21 Jun 2026</t>
  </si>
  <si>
    <t>System Architecture Document</t>
  </si>
  <si>
    <t>Product Backlog</t>
  </si>
  <si>
    <t>Sprint Plan</t>
  </si>
  <si>
    <t>User Stories</t>
  </si>
  <si>
    <t>Sprint 3 Planning – Dashboard UI &amp; Real-time Monitoring (In Progress)</t>
  </si>
  <si>
    <t>Sprint 3 Summary</t>
  </si>
  <si>
    <t>Sprint 3 Deliverables</t>
  </si>
  <si>
    <t>Real-time Dashboard – Live Graphs (PB-07)</t>
  </si>
  <si>
    <t>29 Jun 2026 – 05 Jul 2026</t>
  </si>
  <si>
    <t>Historical Data View – 1h/24h/7d (PB-08)</t>
  </si>
  <si>
    <t>Carry Over (Projected)</t>
  </si>
  <si>
    <t>Sprint 3 Task Board – Sprint Backlog (from Sprint-3 Backlog)</t>
  </si>
  <si>
    <t>Task</t>
  </si>
  <si>
    <t>Assignee</t>
  </si>
  <si>
    <t>Story Points</t>
  </si>
  <si>
    <t>Priority</t>
  </si>
  <si>
    <t>Acceptance Criteria</t>
  </si>
  <si>
    <t>Dependencies</t>
  </si>
  <si>
    <t>Design Dashboard UI Wireframes</t>
  </si>
  <si>
    <t>High</t>
  </si>
  <si>
    <t>Wireframes approved by Product Owner covering CPU, Memory, Disk &amp; Network panels</t>
  </si>
  <si>
    <t>None</t>
  </si>
  <si>
    <t>Write PromQL queries for CPU/RAM</t>
  </si>
  <si>
    <t>Queries return accurate live CPU &amp; RAM metrics in Grafana</t>
  </si>
  <si>
    <t>Prometheus server (Sprint 2)</t>
  </si>
  <si>
    <t>Configure Grafana Datasource (secure)</t>
  </si>
  <si>
    <t>Grafana connects to Prometheus over the secured Tailscale network</t>
  </si>
  <si>
    <t>Tailscale VPN setup (Sprint 2)</t>
  </si>
  <si>
    <t>Develop React/Grafana Frontend Layout</t>
  </si>
  <si>
    <t>Dashboard renders responsive live graphs for all monitored parameters</t>
  </si>
  <si>
    <t>Wireframes, PromQL queries</t>
  </si>
  <si>
    <t>Integrate Disk &amp; Network Panels</t>
  </si>
  <si>
    <t>Medium</t>
  </si>
  <si>
    <t>Disk I/O and Network bandwidth panels display live data</t>
  </si>
  <si>
    <t>Frontend layout</t>
  </si>
  <si>
    <t>Create ML API Endpoints/Placeholders</t>
  </si>
  <si>
    <t>Placeholder endpoints available for future anomaly-detection integration</t>
  </si>
  <si>
    <t>Execute UI Cross-browser Testing</t>
  </si>
  <si>
    <t>Dashboard verified on Chrome, Edge &amp; Firefox with no layout defects</t>
  </si>
  <si>
    <t>Frontend layout complete</t>
  </si>
  <si>
    <t>Sprint Documentation &amp; Review Prep</t>
  </si>
  <si>
    <t>Low</t>
  </si>
  <si>
    <t>Sprint review deck and documentation ready for stakeholder demo</t>
  </si>
  <si>
    <t>All Sprint 3 tasks</t>
  </si>
  <si>
    <t>TEAM EPSILON</t>
  </si>
  <si>
    <t>Column2</t>
  </si>
  <si>
    <t>Column4</t>
  </si>
  <si>
    <t>Done</t>
  </si>
  <si>
    <t xml:space="preserve">Sprint 1 Detail — Requirements, Architecture &amp; Planning </t>
  </si>
  <si>
    <t xml:space="preserve"> Sprint 1 Daily Activity Log </t>
  </si>
  <si>
    <t xml:space="preserve">Date </t>
  </si>
  <si>
    <t xml:space="preserve">Team Member </t>
  </si>
  <si>
    <t xml:space="preserve">Activity Performed </t>
  </si>
  <si>
    <t xml:space="preserve">Help Needed </t>
  </si>
  <si>
    <t xml:space="preserve">Sai Abhiram (PO/SM) </t>
  </si>
  <si>
    <t xml:space="preserve">Vinay Charan (Arch) </t>
  </si>
  <si>
    <t>Sai Abhiram (PO/SM</t>
  </si>
  <si>
    <t>Navadeep (ML)</t>
  </si>
  <si>
    <t xml:space="preserve">Bandhav (DevOps) </t>
  </si>
  <si>
    <t>Prem Kumar (Ops)</t>
  </si>
  <si>
    <t xml:space="preserve">Nihal (QA) </t>
  </si>
  <si>
    <t xml:space="preserve">Entire Team </t>
  </si>
  <si>
    <t xml:space="preserve">Project kickoff meeting conducted; stakeholder requirement s gathered </t>
  </si>
  <si>
    <t xml:space="preserve">High-level architecture drafted; tech stack finalized </t>
  </si>
  <si>
    <t xml:space="preserve">Core features identified; SRS document drafted </t>
  </si>
  <si>
    <t xml:space="preserve">ML module scope defined; anomaly detection approach discussed </t>
  </si>
  <si>
    <t xml:space="preserve">User stories written for Admin, DevOps, and Operations roles </t>
  </si>
  <si>
    <t>CI/CD pipeline requirement s and Docker deployment plan discussed</t>
  </si>
  <si>
    <t>Backlog prioritized based on monitoring criticality</t>
  </si>
  <si>
    <t xml:space="preserve">Server infrastructur e requirement s documented </t>
  </si>
  <si>
    <t xml:space="preserve">Requirement review meeting; project scope finalised and approved </t>
  </si>
  <si>
    <t xml:space="preserve">Product Backlog and acceptance criteria finalised </t>
  </si>
  <si>
    <t>Test plan and QA strategy prepared for Sprint 1 deliverables</t>
  </si>
  <si>
    <t xml:space="preserve">Sprint Review with stakeholders ; Sprint 2 activities approved </t>
  </si>
  <si>
    <t xml:space="preserve">Sprint 1 Summary </t>
  </si>
  <si>
    <t xml:space="preserve"> Sprint 2 Daily Activity Log – Core Agent Setup &amp; Data Collection Module</t>
  </si>
  <si>
    <t>5</t>
  </si>
  <si>
    <t>Dependenci-es</t>
  </si>
  <si>
    <t>Configure Grafana Datasource (secure) &amp;Docker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</si>
</sst>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7" formatCode="[$-F800]dddd\,\ mmmm\ dd\,\ yyyy"/>
  </numFmts>
  <fonts count="34" x14ac:knownFonts="1">
    <font>
      <sz val="11"/>
      <color theme="1"/>
      <name val="Aptos Narrow"/>
      <family val="2"/>
      <charset val="1"/>
    </font>
    <font>
      <sz val="11"/>
      <color theme="1"/>
      <name val="Times New Roman"/>
      <family val="1"/>
      <charset val="1"/>
    </font>
    <font>
      <b/>
      <sz val="20"/>
      <color theme="0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6"/>
      <color theme="1"/>
      <name val="Times New Roman"/>
      <family val="1"/>
      <charset val="1"/>
    </font>
    <font>
      <sz val="18"/>
      <color theme="1"/>
      <name val="Times New Roman"/>
      <family val="1"/>
      <charset val="1"/>
    </font>
    <font>
      <sz val="20"/>
      <color theme="1"/>
      <name val="Times New Roman"/>
      <family val="1"/>
      <charset val="1"/>
    </font>
    <font>
      <sz val="22"/>
      <color theme="1"/>
      <name val="Times New Roman"/>
      <family val="1"/>
      <charset val="1"/>
    </font>
    <font>
      <sz val="24"/>
      <color theme="1"/>
      <name val="Times New Roman"/>
      <family val="1"/>
      <charset val="1"/>
    </font>
    <font>
      <b/>
      <sz val="36"/>
      <color theme="1"/>
      <name val="Times New Roman"/>
      <family val="1"/>
    </font>
    <font>
      <b/>
      <sz val="26"/>
      <color theme="1"/>
      <name val="Times New Roman"/>
      <family val="1"/>
    </font>
    <font>
      <b/>
      <sz val="14"/>
      <color theme="0"/>
      <name val="Times New Roman"/>
      <family val="1"/>
      <charset val="1"/>
    </font>
    <font>
      <b/>
      <sz val="16"/>
      <color theme="0"/>
      <name val="Times New Roman"/>
      <family val="1"/>
      <charset val="1"/>
    </font>
    <font>
      <b/>
      <sz val="18"/>
      <color theme="1"/>
      <name val="Times New Roman"/>
      <family val="1"/>
      <charset val="1"/>
    </font>
    <font>
      <b/>
      <sz val="20"/>
      <color theme="1"/>
      <name val="Times New Roman"/>
      <family val="1"/>
      <charset val="1"/>
    </font>
    <font>
      <b/>
      <sz val="22"/>
      <color theme="1"/>
      <name val="Times New Roman"/>
      <family val="1"/>
      <charset val="1"/>
    </font>
    <font>
      <sz val="8"/>
      <name val="Aptos Narrow"/>
      <family val="2"/>
      <charset val="1"/>
    </font>
    <font>
      <b/>
      <sz val="18"/>
      <color theme="1"/>
      <name val="Times New Roman"/>
      <family val="1"/>
    </font>
    <font>
      <b/>
      <sz val="18"/>
      <color theme="0"/>
      <name val="Times New Roman"/>
      <family val="1"/>
      <charset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  <charset val="1"/>
    </font>
    <font>
      <b/>
      <sz val="26"/>
      <color theme="1"/>
      <name val="Times New Roman"/>
      <family val="1"/>
      <charset val="1"/>
    </font>
    <font>
      <b/>
      <sz val="28"/>
      <color theme="1"/>
      <name val="Times New Roman"/>
      <family val="1"/>
      <charset val="1"/>
    </font>
    <font>
      <b/>
      <sz val="28"/>
      <color theme="0"/>
      <name val="Times New Roman"/>
      <family val="1"/>
      <charset val="1"/>
    </font>
    <font>
      <b/>
      <sz val="36"/>
      <color theme="1"/>
      <name val="Times New Roman"/>
      <family val="1"/>
      <charset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0"/>
      <name val="Times New Roman"/>
      <family val="1"/>
      <charset val="1"/>
    </font>
    <font>
      <b/>
      <sz val="48"/>
      <color theme="1"/>
      <name val="Times New Roman"/>
      <family val="1"/>
    </font>
    <font>
      <b/>
      <sz val="48"/>
      <color theme="1"/>
      <name val="Times New Roman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theme="6"/>
        <bgColor rgb="FF006100"/>
      </patternFill>
    </fill>
    <fill>
      <patternFill patternType="solid">
        <fgColor theme="6" tint="0.39988402966399123"/>
        <bgColor rgb="FF4EA72E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5" tint="0.3999755851924192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/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" fillId="0" borderId="14" xfId="0" applyFont="1" applyBorder="1" applyAlignment="1">
      <alignment wrapText="1"/>
    </xf>
    <xf numFmtId="0" fontId="1" fillId="0" borderId="14" xfId="0" applyFont="1" applyBorder="1"/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Border="1"/>
    <xf numFmtId="0" fontId="5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167" fontId="30" fillId="8" borderId="4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9" xfId="0" applyFont="1" applyBorder="1"/>
    <xf numFmtId="0" fontId="1" fillId="0" borderId="2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164" fontId="31" fillId="2" borderId="8" xfId="0" applyNumberFormat="1" applyFont="1" applyFill="1" applyBorder="1" applyAlignment="1">
      <alignment horizontal="center" vertical="center" wrapText="1"/>
    </xf>
    <xf numFmtId="9" fontId="31" fillId="2" borderId="8" xfId="0" applyNumberFormat="1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6" fillId="7" borderId="11" xfId="0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top"/>
    </xf>
    <xf numFmtId="0" fontId="32" fillId="5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</cellXfs>
  <cellStyles count="1">
    <cellStyle name="Normal" xfId="0" builtinId="0"/>
  </cellStyles>
  <dxfs count="109"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0000"/>
      </font>
      <fill>
        <patternFill>
          <bgColor rgb="FF00B05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B05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theme="9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alignment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name val="Times New Roman"/>
        <family val="1"/>
        <charset val="1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numFmt numFmtId="167" formatCode="[$-F800]dddd\,\ mmmm\ dd\,\ 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numFmt numFmtId="167" formatCode="[$-F800]dddd\,\ mmmm\ dd\,\ yyyy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Times New Roman"/>
        <family val="1"/>
        <charset val="1"/>
        <scheme val="none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20"/>
        <color theme="1"/>
        <name val="Times New Roman"/>
        <family val="1"/>
        <charset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050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47D45A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C73:I81" totalsRowShown="0" headerRowDxfId="44" dataDxfId="36">
  <autoFilter ref="C73:I81" xr:uid="{00000000-0009-0000-0100-000005000000}"/>
  <tableColumns count="7">
    <tableColumn id="1" xr3:uid="{00000000-0010-0000-0400-000001000000}" name="Task" dataDxfId="43"/>
    <tableColumn id="2" xr3:uid="{00000000-0010-0000-0400-000002000000}" name="Assignee" dataDxfId="42"/>
    <tableColumn id="3" xr3:uid="{00000000-0010-0000-0400-000003000000}" name="Story Points" dataDxfId="41"/>
    <tableColumn id="4" xr3:uid="{00000000-0010-0000-0400-000004000000}" name="Priority" dataDxfId="40"/>
    <tableColumn id="5" xr3:uid="{00000000-0010-0000-0400-000005000000}" name="Status" dataDxfId="39"/>
    <tableColumn id="6" xr3:uid="{00000000-0010-0000-0400-000006000000}" name="Acceptance Criteria" dataDxfId="38"/>
    <tableColumn id="7" xr3:uid="{00000000-0010-0000-0400-000007000000}" name="Dependencies" dataDxfId="3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" displayName="Table3" ref="A6:G13" totalsRowShown="0" headerRowDxfId="21" dataDxfId="13" headerRowBorderDxfId="107" tableBorderDxfId="108" totalsRowBorderDxfId="106">
  <autoFilter ref="A6:G13" xr:uid="{00000000-0009-0000-0100-000006000000}"/>
  <tableColumns count="7">
    <tableColumn id="1" xr3:uid="{00000000-0010-0000-0500-000001000000}" name="S.No" dataDxfId="20"/>
    <tableColumn id="2" xr3:uid="{00000000-0010-0000-0500-000002000000}" name="Member Name" dataDxfId="19"/>
    <tableColumn id="3" xr3:uid="{00000000-0010-0000-0500-000003000000}" name="Role  " dataDxfId="18"/>
    <tableColumn id="4" xr3:uid="{00000000-0010-0000-0500-000004000000}" name="Sprint Focus" dataDxfId="17"/>
    <tableColumn id="5" xr3:uid="{00000000-0010-0000-0500-000005000000}" name="Points/ Sprint" dataDxfId="16"/>
    <tableColumn id="6" xr3:uid="{00000000-0010-0000-0500-000006000000}" name="Availability " dataDxfId="15"/>
    <tableColumn id="7" xr3:uid="{00000000-0010-0000-0500-000007000000}" name="Status " dataDxfId="1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A17:O24" totalsRowShown="0" headerRowDxfId="0" dataDxfId="55" headerRowBorderDxfId="104" tableBorderDxfId="105" totalsRowBorderDxfId="103">
  <autoFilter ref="A17:O24" xr:uid="{00000000-0009-0000-0100-000007000000}"/>
  <tableColumns count="15">
    <tableColumn id="1" xr3:uid="{00000000-0010-0000-0600-000001000000}" name="Sprint #" dataDxfId="70"/>
    <tableColumn id="2" xr3:uid="{00000000-0010-0000-0600-000002000000}" name="Sprint Goal" dataDxfId="69"/>
    <tableColumn id="3" xr3:uid="{00000000-0010-0000-0600-000003000000}" name="Start Date" dataDxfId="68"/>
    <tableColumn id="4" xr3:uid="{00000000-0010-0000-0600-000004000000}" name="End Date" dataDxfId="67"/>
    <tableColumn id="5" xr3:uid="{00000000-0010-0000-0600-000005000000}" name="Duration" dataDxfId="66"/>
    <tableColumn id="6" xr3:uid="{00000000-0010-0000-0600-000006000000}" name="Committed Pts" dataDxfId="65"/>
    <tableColumn id="7" xr3:uid="{00000000-0010-0000-0600-000007000000}" name="Completed Pts" dataDxfId="64"/>
    <tableColumn id="8" xr3:uid="{00000000-0010-0000-0600-000008000000}" name="% Done" dataDxfId="63"/>
    <tableColumn id="9" xr3:uid="{00000000-0010-0000-0600-000009000000}" name="Velocity" dataDxfId="62"/>
    <tableColumn id="10" xr3:uid="{00000000-0010-0000-0600-00000A000000}" name="Defects Found" dataDxfId="61"/>
    <tableColumn id="11" xr3:uid="{00000000-0010-0000-0600-00000B000000}" name="Defects Fixed" dataDxfId="60"/>
    <tableColumn id="12" xr3:uid="{00000000-0010-0000-0600-00000C000000}" name="Carry Over" dataDxfId="59"/>
    <tableColumn id="13" xr3:uid="{00000000-0010-0000-0600-00000D000000}" name="Status" dataDxfId="58"/>
    <tableColumn id="14" xr3:uid="{00000000-0010-0000-0600-00000E000000}" name="Stakeholder Review" dataDxfId="57"/>
    <tableColumn id="15" xr3:uid="{00000000-0010-0000-0600-00000F000000}" name="Notes" dataDxfId="5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" displayName="Table9" ref="N50:O55" totalsRowShown="0" headerRowDxfId="87" dataDxfId="45" headerRowBorderDxfId="89" tableBorderDxfId="90" totalsRowBorderDxfId="88">
  <autoFilter ref="N50:O55" xr:uid="{00000000-0009-0000-0100-00000A000000}"/>
  <tableColumns count="2">
    <tableColumn id="1" xr3:uid="{00000000-0010-0000-0900-000001000000}" name="Deliverable" dataDxfId="47"/>
    <tableColumn id="2" xr3:uid="{00000000-0010-0000-0900-000002000000}" name="Status" dataDxfId="4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85DFE5-5E8F-490C-AD34-0FE838FC96DB}" name="Table15" displayName="Table15" ref="A50:F56" totalsRowShown="0" headerRowDxfId="86" dataDxfId="98" headerRowBorderDxfId="100" tableBorderDxfId="101">
  <autoFilter ref="A50:F56" xr:uid="{4B85DFE5-5E8F-490C-AD34-0FE838FC96DB}"/>
  <tableColumns count="6">
    <tableColumn id="1" xr3:uid="{386CC668-73A4-4043-9BEA-2D5A52AA6081}" name="Date" dataDxfId="83"/>
    <tableColumn id="2" xr3:uid="{40FEF75C-9BB1-43F9-AD2F-E480FACEFB73}" name="Team Member" dataDxfId="84"/>
    <tableColumn id="3" xr3:uid="{F381A7E8-B69D-4F2A-A24F-40F56C1D8E73}" name="Activity Performed" dataDxfId="85"/>
    <tableColumn id="4" xr3:uid="{79FD7CBA-687D-4C9B-92E3-EF70082144E1}" name="Pts" dataDxfId="99"/>
    <tableColumn id="5" xr3:uid="{21629EF3-5C9D-4723-A865-829CFB555A0D}" name="Help Needed" dataDxfId="97"/>
    <tableColumn id="6" xr3:uid="{CABD989E-3425-45E3-B344-CB5265384ACF}" name="Status" dataDxfId="9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A22C54-4E0A-4C17-9B2E-0CA8556FB908}" name="Table16" displayName="Table16" ref="A28:F40" totalsRowShown="0" headerRowDxfId="92" dataDxfId="74" headerRowBorderDxfId="94" tableBorderDxfId="95" totalsRowBorderDxfId="93">
  <autoFilter ref="A28:F40" xr:uid="{69A22C54-4E0A-4C17-9B2E-0CA8556FB908}"/>
  <tableColumns count="6">
    <tableColumn id="1" xr3:uid="{7E003795-F627-45FF-838D-EE3698BF7299}" name="Date " dataDxfId="73"/>
    <tableColumn id="2" xr3:uid="{A14530E9-DEB2-4ECD-8B3D-F8B318814BEA}" name="Team Member " dataDxfId="71"/>
    <tableColumn id="3" xr3:uid="{E52BCDD3-1412-432A-99E7-8BB89B9D161A}" name="Activity Performed " dataDxfId="72"/>
    <tableColumn id="4" xr3:uid="{3215C98A-0EB6-4EDB-9FFD-329C4F9FEDC4}" name="Pts" dataDxfId="77"/>
    <tableColumn id="5" xr3:uid="{80FA393F-E0A3-4972-BAAC-B01CB08BA7D3}" name="Help Needed " dataDxfId="76"/>
    <tableColumn id="6" xr3:uid="{AF6A61A9-6F1D-4AD2-89A0-E6833DE1D8CB}" name="Status " dataDxfId="7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40CD95-2EF1-4D55-AB73-102FB2EC6871}" name="Table1216" displayName="Table1216" ref="K74:L82" totalsRowShown="0" headerRowDxfId="32" dataDxfId="29" headerRowBorderDxfId="34" tableBorderDxfId="35" totalsRowBorderDxfId="33">
  <autoFilter ref="K74:L82" xr:uid="{E840CD95-2EF1-4D55-AB73-102FB2EC6871}"/>
  <tableColumns count="2">
    <tableColumn id="1" xr3:uid="{66EB4B6A-6663-4A7F-96EB-6EB71F7B4A24}" name="Metric" dataDxfId="31"/>
    <tableColumn id="2" xr3:uid="{4C411B03-03B2-481E-A27F-2A4C292CEDBF}" name="Value" dataDxfId="3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22778D-0311-43B2-81B9-6EA08365ED18}" name="Table1317" displayName="Table1317" ref="N74:O76" totalsRowShown="0" headerRowDxfId="22" dataDxfId="23" headerRowBorderDxfId="27" tableBorderDxfId="28" totalsRowBorderDxfId="26">
  <autoFilter ref="N74:O76" xr:uid="{6F22778D-0311-43B2-81B9-6EA08365ED18}"/>
  <tableColumns count="2">
    <tableColumn id="1" xr3:uid="{AA3886DC-2771-4CB3-BB01-76AC9F953D76}" name="Deliverable" dataDxfId="25"/>
    <tableColumn id="2" xr3:uid="{F4C94EE9-32D3-4938-80A8-4FEB487EDD1C}" name="Status" dataDxfId="24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EA2AA4E-C292-458B-A3E9-C11952802B93}" name="Table17" displayName="Table17" ref="B61:H69" totalsRowShown="0" headerRowDxfId="79" dataDxfId="78" headerRowBorderDxfId="81" tableBorderDxfId="82" totalsRowBorderDxfId="80">
  <autoFilter ref="B61:H69" xr:uid="{9EA2AA4E-C292-458B-A3E9-C11952802B93}"/>
  <tableColumns count="7">
    <tableColumn id="1" xr3:uid="{71FD198C-075B-444D-8AF9-ADFACFC05A4A}" name="Task" dataDxfId="54"/>
    <tableColumn id="2" xr3:uid="{5A6EF3A3-A5E2-4F84-A903-BC7A884AC4BE}" name="Assignee" dataDxfId="53"/>
    <tableColumn id="3" xr3:uid="{B67ADCED-3372-4D46-9781-BE74BE5BF15E}" name="Story Points" dataDxfId="52"/>
    <tableColumn id="4" xr3:uid="{B869236C-8B8B-4C3F-9297-4D96DF51CB94}" name="Priority" dataDxfId="51"/>
    <tableColumn id="5" xr3:uid="{2D250D8B-BA7B-4B35-8C83-335DD1BEB93E}" name="Status" dataDxfId="50"/>
    <tableColumn id="6" xr3:uid="{C55BBC12-F22A-4E3B-8C33-13E7CA2A9D62}" name="Acceptance Criteria" dataDxfId="49"/>
    <tableColumn id="7" xr3:uid="{D08C4662-8782-478D-906F-55EA8FACAD62}" name="Dependenci-es" dataDxfId="4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zoomScale="50" zoomScaleNormal="50" workbookViewId="0">
      <selection activeCell="L13" sqref="L13"/>
    </sheetView>
  </sheetViews>
  <sheetFormatPr defaultColWidth="22.77734375" defaultRowHeight="26.4" customHeight="1" x14ac:dyDescent="0.25"/>
  <cols>
    <col min="1" max="1" width="24.77734375" style="1" customWidth="1"/>
    <col min="2" max="2" width="24.5546875" style="1" customWidth="1"/>
    <col min="3" max="3" width="31" style="8" customWidth="1"/>
    <col min="4" max="4" width="22.77734375" style="7"/>
    <col min="5" max="5" width="22.44140625" style="1" customWidth="1"/>
    <col min="6" max="16384" width="22.77734375" style="1"/>
  </cols>
  <sheetData>
    <row r="1" spans="1:15" ht="54.6" customHeight="1" x14ac:dyDescent="0.25">
      <c r="A1" s="114" t="s">
        <v>152</v>
      </c>
      <c r="B1" s="114"/>
      <c r="C1" s="114"/>
      <c r="D1" s="114"/>
      <c r="E1" s="114"/>
      <c r="F1" s="114"/>
      <c r="G1" s="114"/>
      <c r="H1" s="9"/>
      <c r="I1" s="10"/>
      <c r="J1" s="10"/>
      <c r="K1" s="10"/>
      <c r="L1" s="10"/>
      <c r="M1" s="10"/>
      <c r="N1" s="10"/>
      <c r="O1" s="10"/>
    </row>
    <row r="2" spans="1:15" ht="36" customHeight="1" x14ac:dyDescent="0.25"/>
    <row r="3" spans="1:15" s="7" customFormat="1" ht="66" customHeight="1" x14ac:dyDescent="0.25">
      <c r="A3" s="115" t="s">
        <v>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</row>
    <row r="4" spans="1:15" ht="36" customHeight="1" x14ac:dyDescent="0.25"/>
    <row r="5" spans="1:15" ht="45.6" x14ac:dyDescent="0.25">
      <c r="A5" s="113" t="s">
        <v>1</v>
      </c>
      <c r="B5" s="113"/>
      <c r="C5" s="113"/>
      <c r="D5" s="113"/>
      <c r="E5" s="113"/>
      <c r="F5" s="113"/>
      <c r="G5" s="113"/>
    </row>
    <row r="6" spans="1:15" ht="63" customHeight="1" x14ac:dyDescent="0.25">
      <c r="A6" s="101" t="s">
        <v>2</v>
      </c>
      <c r="B6" s="103" t="s">
        <v>3</v>
      </c>
      <c r="C6" s="103" t="s">
        <v>4</v>
      </c>
      <c r="D6" s="103" t="s">
        <v>5</v>
      </c>
      <c r="E6" s="103" t="s">
        <v>6</v>
      </c>
      <c r="F6" s="102" t="s">
        <v>7</v>
      </c>
      <c r="G6" s="104" t="s">
        <v>8</v>
      </c>
    </row>
    <row r="7" spans="1:15" ht="141" x14ac:dyDescent="0.25">
      <c r="A7" s="105">
        <v>1</v>
      </c>
      <c r="B7" s="106" t="s">
        <v>9</v>
      </c>
      <c r="C7" s="75" t="s">
        <v>10</v>
      </c>
      <c r="D7" s="75" t="s">
        <v>11</v>
      </c>
      <c r="E7" s="106">
        <v>10</v>
      </c>
      <c r="F7" s="107">
        <v>1</v>
      </c>
      <c r="G7" s="108" t="s">
        <v>12</v>
      </c>
    </row>
    <row r="8" spans="1:15" ht="141" x14ac:dyDescent="0.25">
      <c r="A8" s="105">
        <v>2</v>
      </c>
      <c r="B8" s="106" t="s">
        <v>13</v>
      </c>
      <c r="C8" s="75" t="s">
        <v>14</v>
      </c>
      <c r="D8" s="75" t="s">
        <v>15</v>
      </c>
      <c r="E8" s="106">
        <v>14</v>
      </c>
      <c r="F8" s="107">
        <v>1</v>
      </c>
      <c r="G8" s="108" t="s">
        <v>12</v>
      </c>
    </row>
    <row r="9" spans="1:15" ht="141" x14ac:dyDescent="0.25">
      <c r="A9" s="105">
        <v>3</v>
      </c>
      <c r="B9" s="106" t="s">
        <v>16</v>
      </c>
      <c r="C9" s="75" t="s">
        <v>17</v>
      </c>
      <c r="D9" s="75" t="s">
        <v>18</v>
      </c>
      <c r="E9" s="106">
        <v>12</v>
      </c>
      <c r="F9" s="107">
        <v>1</v>
      </c>
      <c r="G9" s="108" t="s">
        <v>12</v>
      </c>
    </row>
    <row r="10" spans="1:15" ht="112.8" x14ac:dyDescent="0.25">
      <c r="A10" s="105">
        <v>4</v>
      </c>
      <c r="B10" s="106" t="s">
        <v>19</v>
      </c>
      <c r="C10" s="75" t="s">
        <v>20</v>
      </c>
      <c r="D10" s="75" t="s">
        <v>21</v>
      </c>
      <c r="E10" s="106">
        <v>13</v>
      </c>
      <c r="F10" s="107">
        <v>1</v>
      </c>
      <c r="G10" s="108" t="s">
        <v>12</v>
      </c>
    </row>
    <row r="11" spans="1:15" ht="141" x14ac:dyDescent="0.25">
      <c r="A11" s="105">
        <v>5</v>
      </c>
      <c r="B11" s="106" t="s">
        <v>22</v>
      </c>
      <c r="C11" s="75" t="s">
        <v>23</v>
      </c>
      <c r="D11" s="75" t="s">
        <v>24</v>
      </c>
      <c r="E11" s="106">
        <v>12</v>
      </c>
      <c r="F11" s="107">
        <v>1</v>
      </c>
      <c r="G11" s="108" t="s">
        <v>12</v>
      </c>
    </row>
    <row r="12" spans="1:15" ht="141" x14ac:dyDescent="0.25">
      <c r="A12" s="105">
        <v>6</v>
      </c>
      <c r="B12" s="106" t="s">
        <v>25</v>
      </c>
      <c r="C12" s="75" t="s">
        <v>26</v>
      </c>
      <c r="D12" s="75" t="s">
        <v>27</v>
      </c>
      <c r="E12" s="106">
        <v>9</v>
      </c>
      <c r="F12" s="107">
        <v>0.9</v>
      </c>
      <c r="G12" s="108" t="s">
        <v>12</v>
      </c>
    </row>
    <row r="13" spans="1:15" ht="141" x14ac:dyDescent="0.25">
      <c r="A13" s="109">
        <v>7</v>
      </c>
      <c r="B13" s="110" t="s">
        <v>28</v>
      </c>
      <c r="C13" s="76" t="s">
        <v>29</v>
      </c>
      <c r="D13" s="76" t="s">
        <v>30</v>
      </c>
      <c r="E13" s="110">
        <v>11</v>
      </c>
      <c r="F13" s="111">
        <v>0.9</v>
      </c>
      <c r="G13" s="112" t="s">
        <v>12</v>
      </c>
    </row>
    <row r="16" spans="1:15" ht="55.2" customHeight="1" x14ac:dyDescent="0.25">
      <c r="A16" s="116" t="s">
        <v>31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</row>
    <row r="17" spans="1:15" s="5" customFormat="1" ht="60" customHeight="1" x14ac:dyDescent="0.35">
      <c r="A17" s="35" t="s">
        <v>32</v>
      </c>
      <c r="B17" s="62" t="s">
        <v>33</v>
      </c>
      <c r="C17" s="62" t="s">
        <v>34</v>
      </c>
      <c r="D17" s="62" t="s">
        <v>35</v>
      </c>
      <c r="E17" s="62" t="s">
        <v>36</v>
      </c>
      <c r="F17" s="62" t="s">
        <v>37</v>
      </c>
      <c r="G17" s="62" t="s">
        <v>38</v>
      </c>
      <c r="H17" s="62" t="s">
        <v>39</v>
      </c>
      <c r="I17" s="62" t="s">
        <v>40</v>
      </c>
      <c r="J17" s="62" t="s">
        <v>41</v>
      </c>
      <c r="K17" s="62" t="s">
        <v>42</v>
      </c>
      <c r="L17" s="62" t="s">
        <v>43</v>
      </c>
      <c r="M17" s="62" t="s">
        <v>44</v>
      </c>
      <c r="N17" s="62" t="s">
        <v>45</v>
      </c>
      <c r="O17" s="36" t="s">
        <v>46</v>
      </c>
    </row>
    <row r="18" spans="1:15" ht="136.80000000000001" x14ac:dyDescent="0.25">
      <c r="A18" s="98" t="s">
        <v>47</v>
      </c>
      <c r="B18" s="75" t="s">
        <v>48</v>
      </c>
      <c r="C18" s="99">
        <v>46188</v>
      </c>
      <c r="D18" s="99">
        <v>46194</v>
      </c>
      <c r="E18" s="75" t="s">
        <v>49</v>
      </c>
      <c r="F18" s="75">
        <v>70</v>
      </c>
      <c r="G18" s="75">
        <v>68</v>
      </c>
      <c r="H18" s="100">
        <v>0.97</v>
      </c>
      <c r="I18" s="75">
        <v>68</v>
      </c>
      <c r="J18" s="75">
        <v>0</v>
      </c>
      <c r="K18" s="75">
        <v>0</v>
      </c>
      <c r="L18" s="75">
        <v>2</v>
      </c>
      <c r="M18" s="75" t="s">
        <v>50</v>
      </c>
      <c r="N18" s="99">
        <f>(Table4[[#This Row],[Start Date]] +1)</f>
        <v>46189</v>
      </c>
      <c r="O18" s="79" t="s">
        <v>51</v>
      </c>
    </row>
    <row r="19" spans="1:15" ht="136.80000000000001" x14ac:dyDescent="0.25">
      <c r="A19" s="98" t="s">
        <v>52</v>
      </c>
      <c r="B19" s="75" t="s">
        <v>53</v>
      </c>
      <c r="C19" s="99">
        <v>46195</v>
      </c>
      <c r="D19" s="99">
        <v>46201</v>
      </c>
      <c r="E19" s="75" t="s">
        <v>49</v>
      </c>
      <c r="F19" s="75">
        <v>75</v>
      </c>
      <c r="G19" s="75">
        <v>75</v>
      </c>
      <c r="H19" s="100">
        <v>1</v>
      </c>
      <c r="I19" s="75">
        <v>75</v>
      </c>
      <c r="J19" s="75">
        <v>3</v>
      </c>
      <c r="K19" s="75">
        <v>3</v>
      </c>
      <c r="L19" s="75">
        <v>0</v>
      </c>
      <c r="M19" s="75" t="s">
        <v>50</v>
      </c>
      <c r="N19" s="99">
        <f>(Table4[[#This Row],[Start Date]] +1)</f>
        <v>46196</v>
      </c>
      <c r="O19" s="79" t="s">
        <v>54</v>
      </c>
    </row>
    <row r="20" spans="1:15" ht="186.6" customHeight="1" x14ac:dyDescent="0.25">
      <c r="A20" s="98" t="s">
        <v>55</v>
      </c>
      <c r="B20" s="75" t="s">
        <v>56</v>
      </c>
      <c r="C20" s="99">
        <v>46202</v>
      </c>
      <c r="D20" s="99">
        <v>46208</v>
      </c>
      <c r="E20" s="75" t="s">
        <v>49</v>
      </c>
      <c r="F20" s="75">
        <v>80</v>
      </c>
      <c r="G20" s="75">
        <v>12</v>
      </c>
      <c r="H20" s="100">
        <v>0.15</v>
      </c>
      <c r="I20" s="75">
        <v>0</v>
      </c>
      <c r="J20" s="75">
        <v>0</v>
      </c>
      <c r="K20" s="75">
        <v>0</v>
      </c>
      <c r="L20" s="75">
        <v>68</v>
      </c>
      <c r="M20" s="75" t="s">
        <v>57</v>
      </c>
      <c r="N20" s="99">
        <f>(Table4[[#This Row],[Start Date]] +1)</f>
        <v>46203</v>
      </c>
      <c r="O20" s="94" t="s">
        <v>58</v>
      </c>
    </row>
    <row r="21" spans="1:15" ht="201.6" x14ac:dyDescent="0.25">
      <c r="A21" s="98" t="s">
        <v>59</v>
      </c>
      <c r="B21" s="75" t="s">
        <v>60</v>
      </c>
      <c r="C21" s="99">
        <v>46209</v>
      </c>
      <c r="D21" s="99">
        <v>46215</v>
      </c>
      <c r="E21" s="75" t="s">
        <v>49</v>
      </c>
      <c r="F21" s="75">
        <v>85</v>
      </c>
      <c r="G21" s="75">
        <v>0</v>
      </c>
      <c r="H21" s="100">
        <v>0</v>
      </c>
      <c r="I21" s="75">
        <v>0</v>
      </c>
      <c r="J21" s="75">
        <v>0</v>
      </c>
      <c r="K21" s="75">
        <v>0</v>
      </c>
      <c r="L21" s="75">
        <v>85</v>
      </c>
      <c r="M21" s="75" t="s">
        <v>61</v>
      </c>
      <c r="N21" s="99">
        <f>(Table4[[#This Row],[Start Date]] +1)</f>
        <v>46210</v>
      </c>
      <c r="O21" s="94" t="s">
        <v>62</v>
      </c>
    </row>
    <row r="22" spans="1:15" ht="141" x14ac:dyDescent="0.25">
      <c r="A22" s="98" t="s">
        <v>63</v>
      </c>
      <c r="B22" s="75" t="s">
        <v>64</v>
      </c>
      <c r="C22" s="99">
        <v>46216</v>
      </c>
      <c r="D22" s="99">
        <v>46222</v>
      </c>
      <c r="E22" s="75" t="s">
        <v>49</v>
      </c>
      <c r="F22" s="75">
        <v>80</v>
      </c>
      <c r="G22" s="75">
        <v>0</v>
      </c>
      <c r="H22" s="100">
        <v>0</v>
      </c>
      <c r="I22" s="75">
        <v>0</v>
      </c>
      <c r="J22" s="75">
        <v>0</v>
      </c>
      <c r="K22" s="75">
        <v>0</v>
      </c>
      <c r="L22" s="75">
        <v>80</v>
      </c>
      <c r="M22" s="75" t="s">
        <v>61</v>
      </c>
      <c r="N22" s="99">
        <f>(Table4[[#This Row],[Start Date]] +1)</f>
        <v>46217</v>
      </c>
      <c r="O22" s="79" t="s">
        <v>65</v>
      </c>
    </row>
    <row r="23" spans="1:15" ht="126" x14ac:dyDescent="0.25">
      <c r="A23" s="98" t="s">
        <v>66</v>
      </c>
      <c r="B23" s="75" t="s">
        <v>67</v>
      </c>
      <c r="C23" s="99">
        <v>46223</v>
      </c>
      <c r="D23" s="99">
        <v>46229</v>
      </c>
      <c r="E23" s="75" t="s">
        <v>49</v>
      </c>
      <c r="F23" s="75">
        <v>72</v>
      </c>
      <c r="G23" s="75">
        <v>0</v>
      </c>
      <c r="H23" s="100">
        <v>0</v>
      </c>
      <c r="I23" s="75">
        <v>0</v>
      </c>
      <c r="J23" s="75">
        <v>0</v>
      </c>
      <c r="K23" s="75">
        <v>0</v>
      </c>
      <c r="L23" s="75">
        <v>72</v>
      </c>
      <c r="M23" s="75" t="s">
        <v>61</v>
      </c>
      <c r="N23" s="99">
        <f>(Table4[[#This Row],[Start Date]] +1)</f>
        <v>46224</v>
      </c>
      <c r="O23" s="94" t="s">
        <v>68</v>
      </c>
    </row>
    <row r="24" spans="1:15" ht="49.2" customHeight="1" x14ac:dyDescent="0.25">
      <c r="A24" s="70" t="s">
        <v>69</v>
      </c>
      <c r="B24" s="71"/>
      <c r="C24" s="72"/>
      <c r="D24" s="72"/>
      <c r="E24" s="71"/>
      <c r="F24" s="71">
        <f>SUM(F18:F23)</f>
        <v>462</v>
      </c>
      <c r="G24" s="71">
        <f>SUM(G18:G23)</f>
        <v>155</v>
      </c>
      <c r="H24" s="73">
        <f>AVERAGE(H18:H23)</f>
        <v>0.35333333333333333</v>
      </c>
      <c r="I24" s="71">
        <f>AVERAGE(I18:I23)</f>
        <v>23.833333333333332</v>
      </c>
      <c r="J24" s="71">
        <f>SUM(J18:J23)</f>
        <v>3</v>
      </c>
      <c r="K24" s="71">
        <f>SUM(K18:K23)</f>
        <v>3</v>
      </c>
      <c r="L24" s="71">
        <f>SUM(L18:L23)</f>
        <v>307</v>
      </c>
      <c r="M24" s="71"/>
      <c r="N24" s="72"/>
      <c r="O24" s="74"/>
    </row>
    <row r="26" spans="1:15" ht="36" customHeight="1" x14ac:dyDescent="0.25">
      <c r="A26" s="11" t="s">
        <v>156</v>
      </c>
      <c r="B26" s="11"/>
      <c r="C26" s="11"/>
      <c r="D26" s="11"/>
      <c r="E26" s="11"/>
      <c r="F26" s="11"/>
      <c r="H26" s="46" t="s">
        <v>182</v>
      </c>
      <c r="I26" s="46"/>
      <c r="J26" s="46"/>
      <c r="K26" s="46"/>
      <c r="L26" s="46"/>
      <c r="M26" s="46"/>
    </row>
    <row r="27" spans="1:15" ht="36.6" customHeight="1" thickBot="1" x14ac:dyDescent="0.3">
      <c r="A27" s="43" t="s">
        <v>157</v>
      </c>
      <c r="B27" s="43"/>
      <c r="C27" s="43"/>
      <c r="D27" s="43"/>
      <c r="E27" s="43"/>
      <c r="F27" s="43"/>
    </row>
    <row r="28" spans="1:15" ht="52.2" customHeight="1" x14ac:dyDescent="0.3">
      <c r="A28" s="26" t="s">
        <v>158</v>
      </c>
      <c r="B28" s="27" t="s">
        <v>159</v>
      </c>
      <c r="C28" s="28" t="s">
        <v>160</v>
      </c>
      <c r="D28" s="27" t="s">
        <v>73</v>
      </c>
      <c r="E28" s="27" t="s">
        <v>161</v>
      </c>
      <c r="F28" s="29" t="s">
        <v>8</v>
      </c>
      <c r="H28" s="30" t="s">
        <v>89</v>
      </c>
      <c r="I28" s="30" t="s">
        <v>90</v>
      </c>
      <c r="J28" s="6"/>
      <c r="K28" s="31" t="s">
        <v>91</v>
      </c>
      <c r="L28" s="31" t="s">
        <v>44</v>
      </c>
    </row>
    <row r="29" spans="1:15" ht="76.2" customHeight="1" x14ac:dyDescent="0.25">
      <c r="A29" s="64">
        <v>46188</v>
      </c>
      <c r="B29" s="33" t="s">
        <v>162</v>
      </c>
      <c r="C29" s="33" t="s">
        <v>170</v>
      </c>
      <c r="D29" s="65">
        <v>8</v>
      </c>
      <c r="E29" s="65" t="s">
        <v>77</v>
      </c>
      <c r="F29" s="66" t="s">
        <v>155</v>
      </c>
      <c r="H29" s="33" t="s">
        <v>33</v>
      </c>
      <c r="I29" s="33" t="s">
        <v>48</v>
      </c>
      <c r="J29" s="7"/>
      <c r="K29" s="33" t="s">
        <v>106</v>
      </c>
      <c r="L29" s="33" t="s">
        <v>50</v>
      </c>
    </row>
    <row r="30" spans="1:15" ht="64.8" customHeight="1" x14ac:dyDescent="0.25">
      <c r="A30" s="64">
        <v>46188</v>
      </c>
      <c r="B30" s="33" t="s">
        <v>163</v>
      </c>
      <c r="C30" s="33" t="s">
        <v>171</v>
      </c>
      <c r="D30" s="65">
        <v>8</v>
      </c>
      <c r="E30" s="65" t="s">
        <v>77</v>
      </c>
      <c r="F30" s="66" t="s">
        <v>155</v>
      </c>
      <c r="H30" s="34" t="s">
        <v>93</v>
      </c>
      <c r="I30" s="34" t="s">
        <v>107</v>
      </c>
      <c r="J30" s="7"/>
      <c r="K30" s="34" t="s">
        <v>108</v>
      </c>
      <c r="L30" s="34" t="s">
        <v>50</v>
      </c>
    </row>
    <row r="31" spans="1:15" ht="54.6" customHeight="1" x14ac:dyDescent="0.25">
      <c r="A31" s="64">
        <v>46189</v>
      </c>
      <c r="B31" s="33" t="s">
        <v>164</v>
      </c>
      <c r="C31" s="33" t="s">
        <v>172</v>
      </c>
      <c r="D31" s="65">
        <v>8</v>
      </c>
      <c r="E31" s="65" t="s">
        <v>77</v>
      </c>
      <c r="F31" s="66" t="s">
        <v>155</v>
      </c>
      <c r="H31" s="33" t="s">
        <v>96</v>
      </c>
      <c r="I31" s="33">
        <v>70</v>
      </c>
      <c r="J31" s="7"/>
      <c r="K31" s="33" t="s">
        <v>109</v>
      </c>
      <c r="L31" s="33" t="s">
        <v>50</v>
      </c>
    </row>
    <row r="32" spans="1:15" ht="84.6" customHeight="1" x14ac:dyDescent="0.25">
      <c r="A32" s="64">
        <v>46189</v>
      </c>
      <c r="B32" s="33" t="s">
        <v>165</v>
      </c>
      <c r="C32" s="33" t="s">
        <v>173</v>
      </c>
      <c r="D32" s="65">
        <v>4</v>
      </c>
      <c r="E32" s="65" t="s">
        <v>77</v>
      </c>
      <c r="F32" s="66" t="s">
        <v>155</v>
      </c>
      <c r="H32" s="34" t="s">
        <v>98</v>
      </c>
      <c r="I32" s="34">
        <v>68</v>
      </c>
      <c r="J32" s="7"/>
      <c r="K32" s="34" t="s">
        <v>110</v>
      </c>
      <c r="L32" s="34" t="s">
        <v>50</v>
      </c>
    </row>
    <row r="33" spans="1:15" ht="88.8" customHeight="1" x14ac:dyDescent="0.25">
      <c r="A33" s="64">
        <v>46190</v>
      </c>
      <c r="B33" s="33" t="s">
        <v>164</v>
      </c>
      <c r="C33" s="33" t="s">
        <v>174</v>
      </c>
      <c r="D33" s="65">
        <v>8</v>
      </c>
      <c r="E33" s="65" t="s">
        <v>77</v>
      </c>
      <c r="F33" s="66" t="s">
        <v>155</v>
      </c>
      <c r="H33" s="33" t="s">
        <v>100</v>
      </c>
      <c r="I33" s="33">
        <v>2</v>
      </c>
      <c r="J33" s="7"/>
      <c r="K33" s="33" t="s">
        <v>111</v>
      </c>
      <c r="L33" s="33" t="s">
        <v>50</v>
      </c>
    </row>
    <row r="34" spans="1:15" ht="99.6" customHeight="1" x14ac:dyDescent="0.25">
      <c r="A34" s="64">
        <v>46190</v>
      </c>
      <c r="B34" s="33" t="s">
        <v>166</v>
      </c>
      <c r="C34" s="33" t="s">
        <v>175</v>
      </c>
      <c r="D34" s="65">
        <v>4</v>
      </c>
      <c r="E34" s="65" t="s">
        <v>77</v>
      </c>
      <c r="F34" s="66" t="s">
        <v>155</v>
      </c>
      <c r="H34" s="34" t="s">
        <v>102</v>
      </c>
      <c r="I34" s="34">
        <v>0.97</v>
      </c>
      <c r="J34" s="7"/>
    </row>
    <row r="35" spans="1:15" ht="73.8" customHeight="1" x14ac:dyDescent="0.25">
      <c r="A35" s="64">
        <v>46191</v>
      </c>
      <c r="B35" s="33" t="s">
        <v>75</v>
      </c>
      <c r="C35" s="33" t="s">
        <v>176</v>
      </c>
      <c r="D35" s="65">
        <v>6</v>
      </c>
      <c r="E35" s="65" t="s">
        <v>77</v>
      </c>
      <c r="F35" s="66" t="s">
        <v>155</v>
      </c>
      <c r="H35" s="33" t="s">
        <v>43</v>
      </c>
      <c r="I35" s="33">
        <v>2</v>
      </c>
      <c r="J35" s="7"/>
    </row>
    <row r="36" spans="1:15" ht="63" x14ac:dyDescent="0.25">
      <c r="A36" s="64">
        <v>46191</v>
      </c>
      <c r="B36" s="33" t="s">
        <v>167</v>
      </c>
      <c r="C36" s="33" t="s">
        <v>177</v>
      </c>
      <c r="D36" s="65">
        <v>4</v>
      </c>
      <c r="E36" s="65" t="s">
        <v>77</v>
      </c>
      <c r="F36" s="66" t="s">
        <v>155</v>
      </c>
      <c r="H36" s="34" t="s">
        <v>44</v>
      </c>
      <c r="I36" s="34" t="s">
        <v>50</v>
      </c>
      <c r="J36" s="7"/>
    </row>
    <row r="37" spans="1:15" ht="63" x14ac:dyDescent="0.25">
      <c r="A37" s="64">
        <v>46192</v>
      </c>
      <c r="B37" s="33" t="s">
        <v>169</v>
      </c>
      <c r="C37" s="33" t="s">
        <v>178</v>
      </c>
      <c r="D37" s="65">
        <v>6</v>
      </c>
      <c r="E37" s="65" t="s">
        <v>77</v>
      </c>
      <c r="F37" s="66" t="s">
        <v>155</v>
      </c>
      <c r="M37" s="7"/>
    </row>
    <row r="38" spans="1:15" ht="63" x14ac:dyDescent="0.25">
      <c r="A38" s="64">
        <v>46193</v>
      </c>
      <c r="B38" s="33" t="s">
        <v>162</v>
      </c>
      <c r="C38" s="33" t="s">
        <v>179</v>
      </c>
      <c r="D38" s="65">
        <v>6</v>
      </c>
      <c r="E38" s="65" t="s">
        <v>77</v>
      </c>
      <c r="F38" s="66" t="s">
        <v>155</v>
      </c>
    </row>
    <row r="39" spans="1:15" ht="63" x14ac:dyDescent="0.25">
      <c r="A39" s="64">
        <v>46193</v>
      </c>
      <c r="B39" s="33" t="s">
        <v>168</v>
      </c>
      <c r="C39" s="33" t="s">
        <v>180</v>
      </c>
      <c r="D39" s="65">
        <v>3</v>
      </c>
      <c r="E39" s="65" t="s">
        <v>77</v>
      </c>
      <c r="F39" s="66" t="s">
        <v>155</v>
      </c>
    </row>
    <row r="40" spans="1:15" ht="63" x14ac:dyDescent="0.25">
      <c r="A40" s="67">
        <v>46194</v>
      </c>
      <c r="B40" s="59" t="s">
        <v>169</v>
      </c>
      <c r="C40" s="59" t="s">
        <v>181</v>
      </c>
      <c r="D40" s="68">
        <v>3</v>
      </c>
      <c r="E40" s="68" t="s">
        <v>77</v>
      </c>
      <c r="F40" s="69" t="s">
        <v>155</v>
      </c>
      <c r="G40" s="17"/>
    </row>
    <row r="41" spans="1:15" ht="26.4" customHeight="1" x14ac:dyDescent="0.25">
      <c r="B41" s="17"/>
      <c r="C41" s="17"/>
      <c r="D41" s="17"/>
      <c r="E41" s="17"/>
      <c r="F41" s="17"/>
      <c r="G41" s="17"/>
    </row>
    <row r="42" spans="1:15" ht="26.4" customHeight="1" x14ac:dyDescent="0.25">
      <c r="A42" s="17"/>
      <c r="B42" s="17"/>
      <c r="C42" s="17"/>
      <c r="D42" s="17"/>
      <c r="E42" s="17"/>
      <c r="F42" s="17"/>
      <c r="G42" s="17"/>
    </row>
    <row r="43" spans="1:15" ht="26.4" customHeight="1" x14ac:dyDescent="0.25">
      <c r="A43" s="17"/>
      <c r="B43" s="17"/>
      <c r="C43" s="17"/>
      <c r="D43" s="17"/>
      <c r="E43" s="17"/>
      <c r="F43" s="17"/>
      <c r="G43" s="17"/>
    </row>
    <row r="44" spans="1:15" ht="26.4" customHeight="1" x14ac:dyDescent="0.25">
      <c r="A44" s="17"/>
      <c r="B44" s="17"/>
      <c r="C44" s="17"/>
      <c r="D44" s="17"/>
      <c r="E44" s="17"/>
      <c r="F44" s="17"/>
      <c r="G44" s="17"/>
    </row>
    <row r="45" spans="1:15" ht="26.4" customHeight="1" x14ac:dyDescent="0.25">
      <c r="A45" s="17"/>
      <c r="B45" s="17"/>
      <c r="C45" s="17"/>
      <c r="D45" s="17"/>
      <c r="E45" s="17"/>
      <c r="F45" s="17"/>
      <c r="G45" s="17"/>
    </row>
    <row r="46" spans="1:15" ht="26.4" customHeight="1" x14ac:dyDescent="0.25">
      <c r="A46" s="17"/>
      <c r="B46" s="17"/>
      <c r="C46" s="17"/>
      <c r="D46" s="17"/>
      <c r="E46" s="17"/>
      <c r="F46" s="17"/>
      <c r="G46" s="17"/>
    </row>
    <row r="47" spans="1:15" ht="26.4" customHeight="1" x14ac:dyDescent="0.25">
      <c r="A47" s="17"/>
      <c r="B47" s="17"/>
      <c r="C47" s="17"/>
      <c r="D47" s="17"/>
      <c r="E47" s="17"/>
      <c r="F47" s="17"/>
      <c r="G47" s="17"/>
    </row>
    <row r="48" spans="1:15" ht="34.200000000000003" customHeight="1" thickBot="1" x14ac:dyDescent="0.3">
      <c r="A48" s="47" t="s">
        <v>183</v>
      </c>
      <c r="B48" s="48"/>
      <c r="C48" s="48"/>
      <c r="D48" s="48"/>
      <c r="E48" s="48"/>
      <c r="F48" s="48"/>
      <c r="G48" s="48"/>
      <c r="H48" s="48"/>
      <c r="K48" s="45" t="s">
        <v>87</v>
      </c>
      <c r="L48" s="45"/>
      <c r="M48" s="7"/>
      <c r="N48" s="44" t="s">
        <v>88</v>
      </c>
      <c r="O48" s="44"/>
    </row>
    <row r="49" spans="1:15" ht="7.2" customHeight="1" thickBot="1" x14ac:dyDescent="0.3">
      <c r="A49" s="15"/>
      <c r="B49" s="16"/>
      <c r="C49" s="12"/>
      <c r="D49" s="13"/>
      <c r="E49" s="14"/>
      <c r="K49" s="60"/>
      <c r="L49" s="61"/>
      <c r="M49" s="7"/>
    </row>
    <row r="50" spans="1:15" ht="43.2" customHeight="1" x14ac:dyDescent="0.25">
      <c r="A50" s="49" t="s">
        <v>70</v>
      </c>
      <c r="B50" s="50" t="s">
        <v>71</v>
      </c>
      <c r="C50" s="50" t="s">
        <v>72</v>
      </c>
      <c r="D50" s="50" t="s">
        <v>73</v>
      </c>
      <c r="E50" s="50" t="s">
        <v>74</v>
      </c>
      <c r="F50" s="51" t="s">
        <v>44</v>
      </c>
      <c r="K50" s="81" t="s">
        <v>89</v>
      </c>
      <c r="L50" s="82" t="s">
        <v>90</v>
      </c>
      <c r="M50" s="7"/>
      <c r="N50" s="35" t="s">
        <v>91</v>
      </c>
      <c r="O50" s="36" t="s">
        <v>44</v>
      </c>
    </row>
    <row r="51" spans="1:15" ht="151.80000000000001" customHeight="1" x14ac:dyDescent="0.25">
      <c r="A51" s="56">
        <v>46199</v>
      </c>
      <c r="B51" s="53" t="s">
        <v>75</v>
      </c>
      <c r="C51" s="52" t="s">
        <v>76</v>
      </c>
      <c r="D51" s="25">
        <v>15</v>
      </c>
      <c r="E51" s="25" t="s">
        <v>77</v>
      </c>
      <c r="F51" s="24" t="s">
        <v>50</v>
      </c>
      <c r="K51" s="83" t="s">
        <v>33</v>
      </c>
      <c r="L51" s="84" t="s">
        <v>53</v>
      </c>
      <c r="M51" s="7"/>
      <c r="N51" s="90" t="s">
        <v>92</v>
      </c>
      <c r="O51" s="79" t="s">
        <v>50</v>
      </c>
    </row>
    <row r="52" spans="1:15" ht="150" customHeight="1" x14ac:dyDescent="0.25">
      <c r="A52" s="57">
        <v>46199</v>
      </c>
      <c r="B52" s="54" t="s">
        <v>78</v>
      </c>
      <c r="C52" s="33" t="s">
        <v>79</v>
      </c>
      <c r="D52" s="3">
        <v>15</v>
      </c>
      <c r="E52" s="3" t="s">
        <v>77</v>
      </c>
      <c r="F52" s="24" t="s">
        <v>50</v>
      </c>
      <c r="K52" s="85" t="s">
        <v>93</v>
      </c>
      <c r="L52" s="86" t="s">
        <v>94</v>
      </c>
      <c r="M52" s="7"/>
      <c r="N52" s="90" t="s">
        <v>95</v>
      </c>
      <c r="O52" s="79" t="s">
        <v>50</v>
      </c>
    </row>
    <row r="53" spans="1:15" ht="114" customHeight="1" x14ac:dyDescent="0.25">
      <c r="A53" s="56">
        <v>46199</v>
      </c>
      <c r="B53" s="53" t="s">
        <v>75</v>
      </c>
      <c r="C53" s="34" t="s">
        <v>80</v>
      </c>
      <c r="D53" s="19">
        <v>10</v>
      </c>
      <c r="E53" s="19" t="s">
        <v>81</v>
      </c>
      <c r="F53" s="24" t="s">
        <v>50</v>
      </c>
      <c r="K53" s="83" t="s">
        <v>96</v>
      </c>
      <c r="L53" s="84">
        <v>75</v>
      </c>
      <c r="M53" s="7"/>
      <c r="N53" s="90" t="s">
        <v>97</v>
      </c>
      <c r="O53" s="79" t="s">
        <v>50</v>
      </c>
    </row>
    <row r="54" spans="1:15" ht="114" customHeight="1" x14ac:dyDescent="0.25">
      <c r="A54" s="57">
        <v>46199</v>
      </c>
      <c r="B54" s="54" t="s">
        <v>78</v>
      </c>
      <c r="C54" s="33" t="s">
        <v>82</v>
      </c>
      <c r="D54" s="3">
        <v>10</v>
      </c>
      <c r="E54" s="3" t="s">
        <v>77</v>
      </c>
      <c r="F54" s="24" t="s">
        <v>50</v>
      </c>
      <c r="K54" s="85" t="s">
        <v>98</v>
      </c>
      <c r="L54" s="86">
        <v>75</v>
      </c>
      <c r="M54" s="7"/>
      <c r="N54" s="90" t="s">
        <v>99</v>
      </c>
      <c r="O54" s="79" t="s">
        <v>50</v>
      </c>
    </row>
    <row r="55" spans="1:15" ht="148.80000000000001" customHeight="1" x14ac:dyDescent="0.25">
      <c r="A55" s="56">
        <v>46199</v>
      </c>
      <c r="B55" s="53" t="s">
        <v>83</v>
      </c>
      <c r="C55" s="34" t="s">
        <v>84</v>
      </c>
      <c r="D55" s="19">
        <v>15</v>
      </c>
      <c r="E55" s="19" t="s">
        <v>81</v>
      </c>
      <c r="F55" s="24" t="s">
        <v>50</v>
      </c>
      <c r="K55" s="83" t="s">
        <v>100</v>
      </c>
      <c r="L55" s="84">
        <v>0</v>
      </c>
      <c r="M55" s="7"/>
      <c r="N55" s="91" t="s">
        <v>101</v>
      </c>
      <c r="O55" s="80" t="s">
        <v>50</v>
      </c>
    </row>
    <row r="56" spans="1:15" ht="126" x14ac:dyDescent="0.25">
      <c r="A56" s="58">
        <v>46199</v>
      </c>
      <c r="B56" s="55" t="s">
        <v>85</v>
      </c>
      <c r="C56" s="59" t="s">
        <v>86</v>
      </c>
      <c r="D56" s="4">
        <v>10</v>
      </c>
      <c r="E56" s="4" t="s">
        <v>77</v>
      </c>
      <c r="F56" s="24" t="s">
        <v>50</v>
      </c>
      <c r="K56" s="85" t="s">
        <v>102</v>
      </c>
      <c r="L56" s="87">
        <v>1</v>
      </c>
      <c r="M56" s="7"/>
    </row>
    <row r="57" spans="1:15" ht="64.8" customHeight="1" x14ac:dyDescent="0.25">
      <c r="K57" s="83" t="s">
        <v>41</v>
      </c>
      <c r="L57" s="84">
        <v>3</v>
      </c>
      <c r="M57" s="7"/>
    </row>
    <row r="58" spans="1:15" ht="64.8" customHeight="1" x14ac:dyDescent="0.25">
      <c r="K58" s="85" t="s">
        <v>42</v>
      </c>
      <c r="L58" s="86">
        <v>3</v>
      </c>
      <c r="M58" s="7"/>
    </row>
    <row r="59" spans="1:15" ht="64.8" customHeight="1" x14ac:dyDescent="0.25">
      <c r="B59" s="45" t="s">
        <v>119</v>
      </c>
      <c r="C59" s="45"/>
      <c r="D59" s="45"/>
      <c r="E59" s="45"/>
      <c r="F59" s="45"/>
      <c r="G59" s="45"/>
      <c r="H59" s="45"/>
      <c r="K59" s="83" t="s">
        <v>43</v>
      </c>
      <c r="L59" s="84">
        <v>0</v>
      </c>
      <c r="M59" s="7"/>
    </row>
    <row r="60" spans="1:15" ht="23.4" thickBot="1" x14ac:dyDescent="0.3">
      <c r="D60" s="1"/>
      <c r="K60" s="88" t="s">
        <v>44</v>
      </c>
      <c r="L60" s="89" t="s">
        <v>50</v>
      </c>
    </row>
    <row r="61" spans="1:15" ht="55.2" x14ac:dyDescent="0.25">
      <c r="B61" s="37" t="s">
        <v>120</v>
      </c>
      <c r="C61" s="63" t="s">
        <v>121</v>
      </c>
      <c r="D61" s="63" t="s">
        <v>122</v>
      </c>
      <c r="E61" s="63" t="s">
        <v>123</v>
      </c>
      <c r="F61" s="63" t="s">
        <v>44</v>
      </c>
      <c r="G61" s="63" t="s">
        <v>124</v>
      </c>
      <c r="H61" s="38" t="s">
        <v>185</v>
      </c>
    </row>
    <row r="62" spans="1:15" ht="126" x14ac:dyDescent="0.25">
      <c r="B62" s="41" t="s">
        <v>126</v>
      </c>
      <c r="C62" s="77" t="s">
        <v>19</v>
      </c>
      <c r="D62" s="77" t="s">
        <v>184</v>
      </c>
      <c r="E62" s="77" t="s">
        <v>127</v>
      </c>
      <c r="F62" s="77" t="s">
        <v>50</v>
      </c>
      <c r="G62" s="33" t="s">
        <v>128</v>
      </c>
      <c r="H62" s="79" t="s">
        <v>129</v>
      </c>
    </row>
    <row r="63" spans="1:15" ht="105" x14ac:dyDescent="0.25">
      <c r="B63" s="41" t="s">
        <v>130</v>
      </c>
      <c r="C63" s="77" t="s">
        <v>13</v>
      </c>
      <c r="D63" s="77">
        <v>8</v>
      </c>
      <c r="E63" s="77" t="s">
        <v>127</v>
      </c>
      <c r="F63" s="77" t="s">
        <v>50</v>
      </c>
      <c r="G63" s="33" t="s">
        <v>131</v>
      </c>
      <c r="H63" s="79" t="s">
        <v>132</v>
      </c>
    </row>
    <row r="64" spans="1:15" ht="126" x14ac:dyDescent="0.25">
      <c r="B64" s="41" t="s">
        <v>136</v>
      </c>
      <c r="C64" s="77" t="s">
        <v>19</v>
      </c>
      <c r="D64" s="77">
        <v>12</v>
      </c>
      <c r="E64" s="77" t="s">
        <v>127</v>
      </c>
      <c r="F64" s="77" t="s">
        <v>50</v>
      </c>
      <c r="G64" s="33" t="s">
        <v>137</v>
      </c>
      <c r="H64" s="79" t="s">
        <v>138</v>
      </c>
    </row>
    <row r="65" spans="2:15" ht="126" x14ac:dyDescent="0.25">
      <c r="B65" s="41" t="s">
        <v>186</v>
      </c>
      <c r="C65" s="77" t="s">
        <v>16</v>
      </c>
      <c r="D65" s="77">
        <v>5</v>
      </c>
      <c r="E65" s="77" t="s">
        <v>127</v>
      </c>
      <c r="F65" s="77" t="s">
        <v>57</v>
      </c>
      <c r="G65" s="33" t="s">
        <v>134</v>
      </c>
      <c r="H65" s="79" t="s">
        <v>135</v>
      </c>
    </row>
    <row r="66" spans="2:15" ht="105" x14ac:dyDescent="0.25">
      <c r="B66" s="41" t="s">
        <v>139</v>
      </c>
      <c r="C66" s="77" t="s">
        <v>25</v>
      </c>
      <c r="D66" s="77">
        <v>8</v>
      </c>
      <c r="E66" s="77" t="s">
        <v>140</v>
      </c>
      <c r="F66" s="77" t="s">
        <v>61</v>
      </c>
      <c r="G66" s="33" t="s">
        <v>141</v>
      </c>
      <c r="H66" s="79" t="s">
        <v>142</v>
      </c>
    </row>
    <row r="67" spans="2:15" ht="126" x14ac:dyDescent="0.25">
      <c r="B67" s="41" t="s">
        <v>143</v>
      </c>
      <c r="C67" s="77" t="s">
        <v>22</v>
      </c>
      <c r="D67" s="77">
        <v>10</v>
      </c>
      <c r="E67" s="77" t="s">
        <v>140</v>
      </c>
      <c r="F67" s="77" t="s">
        <v>61</v>
      </c>
      <c r="G67" s="33" t="s">
        <v>144</v>
      </c>
      <c r="H67" s="79" t="s">
        <v>129</v>
      </c>
    </row>
    <row r="68" spans="2:15" ht="105" x14ac:dyDescent="0.25">
      <c r="B68" s="41" t="s">
        <v>145</v>
      </c>
      <c r="C68" s="77" t="s">
        <v>28</v>
      </c>
      <c r="D68" s="77">
        <v>8</v>
      </c>
      <c r="E68" s="77" t="s">
        <v>140</v>
      </c>
      <c r="F68" s="77" t="s">
        <v>61</v>
      </c>
      <c r="G68" s="33" t="s">
        <v>146</v>
      </c>
      <c r="H68" s="79" t="s">
        <v>147</v>
      </c>
    </row>
    <row r="69" spans="2:15" ht="126" x14ac:dyDescent="0.25">
      <c r="B69" s="42" t="s">
        <v>148</v>
      </c>
      <c r="C69" s="78" t="s">
        <v>9</v>
      </c>
      <c r="D69" s="78">
        <v>5</v>
      </c>
      <c r="E69" s="78" t="s">
        <v>149</v>
      </c>
      <c r="F69" s="78" t="s">
        <v>61</v>
      </c>
      <c r="G69" s="59" t="s">
        <v>150</v>
      </c>
      <c r="H69" s="80" t="s">
        <v>151</v>
      </c>
    </row>
    <row r="72" spans="2:15" ht="49.2" customHeight="1" x14ac:dyDescent="0.25">
      <c r="C72" s="44" t="s">
        <v>119</v>
      </c>
      <c r="D72" s="44"/>
      <c r="E72" s="44"/>
      <c r="F72" s="44"/>
      <c r="G72" s="44"/>
      <c r="H72" s="44"/>
      <c r="I72" s="44"/>
      <c r="K72" s="32" t="s">
        <v>112</v>
      </c>
      <c r="L72" s="32"/>
      <c r="M72" s="32"/>
      <c r="N72" s="32"/>
      <c r="O72" s="32"/>
    </row>
    <row r="73" spans="2:15" ht="49.2" x14ac:dyDescent="0.25">
      <c r="C73" s="92" t="s">
        <v>120</v>
      </c>
      <c r="D73" s="92" t="s">
        <v>121</v>
      </c>
      <c r="E73" s="92" t="s">
        <v>122</v>
      </c>
      <c r="F73" s="92" t="s">
        <v>123</v>
      </c>
      <c r="G73" s="92" t="s">
        <v>44</v>
      </c>
      <c r="H73" s="92" t="s">
        <v>124</v>
      </c>
      <c r="I73" s="92" t="s">
        <v>125</v>
      </c>
      <c r="K73" s="97" t="s">
        <v>113</v>
      </c>
      <c r="L73" s="97"/>
      <c r="M73" s="7"/>
      <c r="N73" s="97" t="s">
        <v>114</v>
      </c>
      <c r="O73" s="97"/>
    </row>
    <row r="74" spans="2:15" ht="126" x14ac:dyDescent="0.25">
      <c r="C74" s="33" t="s">
        <v>126</v>
      </c>
      <c r="D74" s="33" t="s">
        <v>19</v>
      </c>
      <c r="E74" s="33">
        <v>5</v>
      </c>
      <c r="F74" s="33" t="s">
        <v>127</v>
      </c>
      <c r="G74" s="33" t="s">
        <v>50</v>
      </c>
      <c r="H74" s="33" t="s">
        <v>128</v>
      </c>
      <c r="I74" s="33" t="s">
        <v>129</v>
      </c>
      <c r="K74" s="39" t="s">
        <v>89</v>
      </c>
      <c r="L74" s="40" t="s">
        <v>90</v>
      </c>
      <c r="M74" s="7"/>
      <c r="N74" s="37" t="s">
        <v>91</v>
      </c>
      <c r="O74" s="38" t="s">
        <v>44</v>
      </c>
    </row>
    <row r="75" spans="2:15" ht="105" x14ac:dyDescent="0.25">
      <c r="C75" s="33" t="s">
        <v>130</v>
      </c>
      <c r="D75" s="33" t="s">
        <v>13</v>
      </c>
      <c r="E75" s="33">
        <v>8</v>
      </c>
      <c r="F75" s="33" t="s">
        <v>127</v>
      </c>
      <c r="G75" s="33" t="s">
        <v>50</v>
      </c>
      <c r="H75" s="33" t="s">
        <v>131</v>
      </c>
      <c r="I75" s="33" t="s">
        <v>132</v>
      </c>
      <c r="K75" s="90" t="s">
        <v>33</v>
      </c>
      <c r="L75" s="79" t="s">
        <v>56</v>
      </c>
      <c r="M75" s="7"/>
      <c r="N75" s="93" t="s">
        <v>115</v>
      </c>
      <c r="O75" s="94" t="s">
        <v>50</v>
      </c>
    </row>
    <row r="76" spans="2:15" ht="126" x14ac:dyDescent="0.25">
      <c r="C76" s="33" t="s">
        <v>133</v>
      </c>
      <c r="D76" s="33" t="s">
        <v>16</v>
      </c>
      <c r="E76" s="33">
        <v>5</v>
      </c>
      <c r="F76" s="33" t="s">
        <v>127</v>
      </c>
      <c r="G76" s="33" t="s">
        <v>50</v>
      </c>
      <c r="H76" s="33" t="s">
        <v>134</v>
      </c>
      <c r="I76" s="33" t="s">
        <v>135</v>
      </c>
      <c r="K76" s="90" t="s">
        <v>93</v>
      </c>
      <c r="L76" s="79" t="s">
        <v>116</v>
      </c>
      <c r="M76" s="7"/>
      <c r="N76" s="95" t="s">
        <v>117</v>
      </c>
      <c r="O76" s="96" t="s">
        <v>57</v>
      </c>
    </row>
    <row r="77" spans="2:15" ht="126" x14ac:dyDescent="0.25">
      <c r="C77" s="33" t="s">
        <v>136</v>
      </c>
      <c r="D77" s="33" t="s">
        <v>19</v>
      </c>
      <c r="E77" s="33">
        <v>12</v>
      </c>
      <c r="F77" s="33" t="s">
        <v>127</v>
      </c>
      <c r="G77" s="33" t="s">
        <v>57</v>
      </c>
      <c r="H77" s="33" t="s">
        <v>137</v>
      </c>
      <c r="I77" s="33" t="s">
        <v>138</v>
      </c>
      <c r="K77" s="90" t="s">
        <v>96</v>
      </c>
      <c r="L77" s="79">
        <v>80</v>
      </c>
      <c r="M77" s="7"/>
    </row>
    <row r="78" spans="2:15" ht="105" x14ac:dyDescent="0.25">
      <c r="C78" s="33" t="s">
        <v>139</v>
      </c>
      <c r="D78" s="33" t="s">
        <v>25</v>
      </c>
      <c r="E78" s="33">
        <v>8</v>
      </c>
      <c r="F78" s="33" t="s">
        <v>140</v>
      </c>
      <c r="G78" s="33" t="s">
        <v>61</v>
      </c>
      <c r="H78" s="33" t="s">
        <v>141</v>
      </c>
      <c r="I78" s="33" t="s">
        <v>142</v>
      </c>
      <c r="K78" s="90" t="s">
        <v>98</v>
      </c>
      <c r="L78" s="79">
        <v>12</v>
      </c>
      <c r="M78" s="7"/>
    </row>
    <row r="79" spans="2:15" ht="126" x14ac:dyDescent="0.25">
      <c r="C79" s="33" t="s">
        <v>143</v>
      </c>
      <c r="D79" s="33" t="s">
        <v>22</v>
      </c>
      <c r="E79" s="33">
        <v>10</v>
      </c>
      <c r="F79" s="33" t="s">
        <v>140</v>
      </c>
      <c r="G79" s="33" t="s">
        <v>61</v>
      </c>
      <c r="H79" s="33" t="s">
        <v>144</v>
      </c>
      <c r="I79" s="33" t="s">
        <v>129</v>
      </c>
      <c r="K79" s="90" t="s">
        <v>100</v>
      </c>
      <c r="L79" s="79">
        <v>68</v>
      </c>
      <c r="M79" s="7"/>
    </row>
    <row r="80" spans="2:15" ht="105" x14ac:dyDescent="0.25">
      <c r="C80" s="33" t="s">
        <v>145</v>
      </c>
      <c r="D80" s="33" t="s">
        <v>28</v>
      </c>
      <c r="E80" s="33">
        <v>8</v>
      </c>
      <c r="F80" s="33" t="s">
        <v>140</v>
      </c>
      <c r="G80" s="33" t="s">
        <v>61</v>
      </c>
      <c r="H80" s="33" t="s">
        <v>146</v>
      </c>
      <c r="I80" s="33" t="s">
        <v>147</v>
      </c>
      <c r="K80" s="90" t="s">
        <v>102</v>
      </c>
      <c r="L80" s="79">
        <v>0.15</v>
      </c>
      <c r="M80" s="7"/>
    </row>
    <row r="81" spans="3:13" ht="126" x14ac:dyDescent="0.25">
      <c r="C81" s="33" t="s">
        <v>148</v>
      </c>
      <c r="D81" s="33" t="s">
        <v>9</v>
      </c>
      <c r="E81" s="33">
        <v>5</v>
      </c>
      <c r="F81" s="33" t="s">
        <v>149</v>
      </c>
      <c r="G81" s="33" t="s">
        <v>61</v>
      </c>
      <c r="H81" s="33" t="s">
        <v>150</v>
      </c>
      <c r="I81" s="33" t="s">
        <v>151</v>
      </c>
      <c r="K81" s="90" t="s">
        <v>118</v>
      </c>
      <c r="L81" s="79">
        <v>68</v>
      </c>
      <c r="M81" s="7"/>
    </row>
    <row r="82" spans="3:13" ht="142.80000000000001" customHeight="1" x14ac:dyDescent="0.25">
      <c r="C82" s="1"/>
      <c r="D82" s="8"/>
      <c r="E82" s="7"/>
      <c r="K82" s="91" t="s">
        <v>44</v>
      </c>
      <c r="L82" s="80" t="s">
        <v>57</v>
      </c>
      <c r="M82" s="7"/>
    </row>
    <row r="83" spans="3:13" ht="142.80000000000001" customHeight="1" x14ac:dyDescent="0.25">
      <c r="C83" s="1"/>
      <c r="D83" s="8"/>
    </row>
    <row r="84" spans="3:13" ht="13.8" x14ac:dyDescent="0.25">
      <c r="C84" s="1"/>
      <c r="D84" s="8"/>
    </row>
    <row r="85" spans="3:13" ht="13.8" x14ac:dyDescent="0.25">
      <c r="C85" s="1"/>
      <c r="D85" s="8"/>
    </row>
    <row r="86" spans="3:13" ht="13.8" x14ac:dyDescent="0.25">
      <c r="C86" s="1"/>
      <c r="D86" s="8"/>
    </row>
    <row r="87" spans="3:13" ht="13.8" x14ac:dyDescent="0.25">
      <c r="C87" s="1"/>
      <c r="D87" s="8"/>
    </row>
    <row r="88" spans="3:13" ht="13.8" x14ac:dyDescent="0.25">
      <c r="C88" s="1"/>
      <c r="D88" s="8"/>
    </row>
    <row r="89" spans="3:13" ht="26.4" customHeight="1" x14ac:dyDescent="0.25">
      <c r="C89" s="1"/>
      <c r="D89" s="8"/>
      <c r="E89" s="7"/>
    </row>
    <row r="90" spans="3:13" ht="26.4" customHeight="1" x14ac:dyDescent="0.25">
      <c r="C90" s="1"/>
      <c r="D90" s="8"/>
      <c r="E90" s="7"/>
    </row>
    <row r="91" spans="3:13" ht="26.4" customHeight="1" x14ac:dyDescent="0.25">
      <c r="C91" s="1"/>
      <c r="D91" s="8"/>
      <c r="E91" s="7"/>
    </row>
    <row r="92" spans="3:13" ht="26.4" customHeight="1" x14ac:dyDescent="0.25">
      <c r="C92" s="1"/>
      <c r="D92" s="8"/>
      <c r="E92" s="7"/>
    </row>
    <row r="93" spans="3:13" ht="26.4" customHeight="1" x14ac:dyDescent="0.25">
      <c r="C93" s="1"/>
      <c r="D93" s="8"/>
      <c r="E93" s="7"/>
    </row>
    <row r="94" spans="3:13" ht="26.4" customHeight="1" x14ac:dyDescent="0.25">
      <c r="C94" s="1"/>
      <c r="D94" s="8"/>
      <c r="E94" s="7"/>
    </row>
    <row r="95" spans="3:13" ht="26.4" customHeight="1" x14ac:dyDescent="0.25">
      <c r="C95" s="1"/>
      <c r="D95" s="8"/>
      <c r="E95" s="7"/>
    </row>
    <row r="96" spans="3:13" ht="26.4" customHeight="1" x14ac:dyDescent="0.25">
      <c r="C96" s="1"/>
      <c r="D96" s="8"/>
      <c r="E96" s="7"/>
    </row>
    <row r="97" spans="3:5" ht="26.4" customHeight="1" x14ac:dyDescent="0.25">
      <c r="C97" s="1"/>
      <c r="D97" s="8"/>
      <c r="E97" s="7"/>
    </row>
  </sheetData>
  <mergeCells count="16">
    <mergeCell ref="N73:O73"/>
    <mergeCell ref="A3:O3"/>
    <mergeCell ref="A16:O16"/>
    <mergeCell ref="H26:M26"/>
    <mergeCell ref="A48:H48"/>
    <mergeCell ref="K48:L48"/>
    <mergeCell ref="N48:O48"/>
    <mergeCell ref="B59:H59"/>
    <mergeCell ref="C72:I72"/>
    <mergeCell ref="K73:L73"/>
    <mergeCell ref="K72:O72"/>
    <mergeCell ref="A26:F26"/>
    <mergeCell ref="A27:F27"/>
    <mergeCell ref="A1:G1"/>
    <mergeCell ref="A5:G5"/>
    <mergeCell ref="I1:O1"/>
  </mergeCells>
  <phoneticPr fontId="19" type="noConversion"/>
  <conditionalFormatting sqref="O50:O55">
    <cfRule type="containsText" dxfId="12" priority="8" operator="containsText" text="Completed">
      <formula>NOT(ISERROR(SEARCH("Completed",O50)))</formula>
    </cfRule>
  </conditionalFormatting>
  <conditionalFormatting sqref="G6:G13">
    <cfRule type="containsText" dxfId="11" priority="15" operator="containsText" text="Active">
      <formula>NOT(ISERROR(SEARCH("Active",G6)))</formula>
    </cfRule>
    <cfRule type="cellIs" dxfId="10" priority="16" operator="equal">
      <formula>"Active"</formula>
    </cfRule>
    <cfRule type="cellIs" dxfId="9" priority="17" operator="equal">
      <formula>"Active"</formula>
    </cfRule>
  </conditionalFormatting>
  <conditionalFormatting sqref="G7:G13">
    <cfRule type="containsText" dxfId="8" priority="14" operator="containsText" text="Active ">
      <formula>NOT(ISERROR(SEARCH("Active ",G7)))</formula>
    </cfRule>
  </conditionalFormatting>
  <conditionalFormatting sqref="M17:M24">
    <cfRule type="containsText" dxfId="7" priority="11" operator="containsText" text="Planned">
      <formula>NOT(ISERROR(SEARCH("Planned",M17)))</formula>
    </cfRule>
    <cfRule type="containsText" dxfId="6" priority="12" operator="containsText" text="In Progress">
      <formula>NOT(ISERROR(SEARCH("In Progress",M17)))</formula>
    </cfRule>
    <cfRule type="containsText" dxfId="5" priority="13" operator="containsText" text="Completed">
      <formula>NOT(ISERROR(SEARCH("Completed",M17)))</formula>
    </cfRule>
  </conditionalFormatting>
  <conditionalFormatting sqref="F51:F56">
    <cfRule type="containsText" dxfId="1" priority="1" operator="containsText" text="Completed">
      <formula>NOT(ISERROR(SEARCH("Completed",F51)))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B473-ECBA-4C73-8DAF-A03BFF9C8EEE}">
  <dimension ref="D6:H16"/>
  <sheetViews>
    <sheetView workbookViewId="0">
      <selection activeCell="D3" sqref="D3"/>
    </sheetView>
  </sheetViews>
  <sheetFormatPr defaultRowHeight="14.4" x14ac:dyDescent="0.3"/>
  <cols>
    <col min="4" max="4" width="29.6640625" customWidth="1"/>
    <col min="5" max="5" width="28.33203125" customWidth="1"/>
    <col min="6" max="6" width="32.77734375" customWidth="1"/>
    <col min="7" max="8" width="32.21875" customWidth="1"/>
  </cols>
  <sheetData>
    <row r="6" spans="4:8" ht="20.399999999999999" x14ac:dyDescent="0.35">
      <c r="D6" s="2" t="s">
        <v>103</v>
      </c>
      <c r="E6" s="1"/>
      <c r="F6" s="8"/>
      <c r="G6" s="7"/>
      <c r="H6" s="1"/>
    </row>
    <row r="7" spans="4:8" ht="22.8" x14ac:dyDescent="0.3">
      <c r="D7" s="21" t="s">
        <v>104</v>
      </c>
      <c r="E7" s="20" t="s">
        <v>153</v>
      </c>
      <c r="F7" s="7"/>
      <c r="G7" s="22" t="s">
        <v>105</v>
      </c>
      <c r="H7" s="23" t="s">
        <v>154</v>
      </c>
    </row>
    <row r="8" spans="4:8" ht="35.4" customHeight="1" x14ac:dyDescent="0.3">
      <c r="D8" s="18" t="s">
        <v>89</v>
      </c>
      <c r="E8" s="18" t="s">
        <v>90</v>
      </c>
      <c r="F8" s="7"/>
      <c r="G8" s="18" t="s">
        <v>91</v>
      </c>
      <c r="H8" s="18" t="s">
        <v>44</v>
      </c>
    </row>
    <row r="9" spans="4:8" ht="35.4" customHeight="1" x14ac:dyDescent="0.3">
      <c r="D9" s="3" t="s">
        <v>33</v>
      </c>
      <c r="E9" s="3" t="s">
        <v>48</v>
      </c>
      <c r="F9" s="7"/>
      <c r="G9" s="3" t="s">
        <v>106</v>
      </c>
      <c r="H9" s="3" t="s">
        <v>50</v>
      </c>
    </row>
    <row r="10" spans="4:8" ht="35.4" customHeight="1" x14ac:dyDescent="0.3">
      <c r="D10" s="19" t="s">
        <v>93</v>
      </c>
      <c r="E10" s="19" t="s">
        <v>107</v>
      </c>
      <c r="F10" s="7"/>
      <c r="G10" s="19" t="s">
        <v>108</v>
      </c>
      <c r="H10" s="19" t="s">
        <v>50</v>
      </c>
    </row>
    <row r="11" spans="4:8" ht="35.4" customHeight="1" x14ac:dyDescent="0.3">
      <c r="D11" s="3" t="s">
        <v>96</v>
      </c>
      <c r="E11" s="3">
        <v>70</v>
      </c>
      <c r="F11" s="7"/>
      <c r="G11" s="3" t="s">
        <v>109</v>
      </c>
      <c r="H11" s="3" t="s">
        <v>50</v>
      </c>
    </row>
    <row r="12" spans="4:8" ht="35.4" customHeight="1" x14ac:dyDescent="0.3">
      <c r="D12" s="19" t="s">
        <v>98</v>
      </c>
      <c r="E12" s="19">
        <v>68</v>
      </c>
      <c r="F12" s="7"/>
      <c r="G12" s="19" t="s">
        <v>110</v>
      </c>
      <c r="H12" s="19" t="s">
        <v>50</v>
      </c>
    </row>
    <row r="13" spans="4:8" ht="35.4" customHeight="1" x14ac:dyDescent="0.3">
      <c r="D13" s="3" t="s">
        <v>100</v>
      </c>
      <c r="E13" s="3">
        <v>2</v>
      </c>
      <c r="F13" s="7"/>
      <c r="G13" s="3" t="s">
        <v>111</v>
      </c>
      <c r="H13" s="3" t="s">
        <v>50</v>
      </c>
    </row>
    <row r="14" spans="4:8" ht="24.6" customHeight="1" x14ac:dyDescent="0.3">
      <c r="D14" s="19" t="s">
        <v>102</v>
      </c>
      <c r="E14" s="19">
        <v>0.97</v>
      </c>
      <c r="F14" s="7"/>
      <c r="G14" s="1"/>
      <c r="H14" s="1"/>
    </row>
    <row r="15" spans="4:8" ht="24.6" customHeight="1" x14ac:dyDescent="0.3">
      <c r="D15" s="3" t="s">
        <v>43</v>
      </c>
      <c r="E15" s="3">
        <v>2</v>
      </c>
      <c r="F15" s="7"/>
      <c r="G15" s="1"/>
      <c r="H15" s="1"/>
    </row>
    <row r="16" spans="4:8" ht="24.6" customHeight="1" x14ac:dyDescent="0.3">
      <c r="D16" s="19" t="s">
        <v>44</v>
      </c>
      <c r="E16" s="19" t="s">
        <v>50</v>
      </c>
      <c r="F16" s="7"/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 RAM CHARAN</dc:creator>
  <dc:description/>
  <cp:lastModifiedBy>Sai Abhiram Anaganti</cp:lastModifiedBy>
  <cp:revision>0</cp:revision>
  <dcterms:created xsi:type="dcterms:W3CDTF">2026-06-22T15:21:44Z</dcterms:created>
  <dcterms:modified xsi:type="dcterms:W3CDTF">2026-07-05T16:44:44Z</dcterms:modified>
  <dc:language>en-US</dc:language>
</cp:coreProperties>
</file>